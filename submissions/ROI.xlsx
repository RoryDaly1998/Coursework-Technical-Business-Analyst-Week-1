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umptions" sheetId="1" r:id="rId5"/>
    <sheet state="visible" name="Baseline Metrics" sheetId="2" r:id="rId6"/>
    <sheet state="visible" name="Opportunities" sheetId="3" r:id="rId7"/>
    <sheet state="visible" name="Calculations" sheetId="4" r:id="rId8"/>
    <sheet state="visible" name="Summary" sheetId="5" r:id="rId9"/>
  </sheets>
  <definedNames/>
  <calcPr/>
</workbook>
</file>

<file path=xl/sharedStrings.xml><?xml version="1.0" encoding="utf-8"?>
<sst xmlns="http://schemas.openxmlformats.org/spreadsheetml/2006/main" count="474" uniqueCount="230">
  <si>
    <t>metric_id</t>
  </si>
  <si>
    <t>Opportunity ID</t>
  </si>
  <si>
    <t>assumption_id</t>
  </si>
  <si>
    <t>metric_name</t>
  </si>
  <si>
    <t>assumption_name</t>
  </si>
  <si>
    <t>Name</t>
  </si>
  <si>
    <t>value</t>
  </si>
  <si>
    <t>Value</t>
  </si>
  <si>
    <t>Opportunity</t>
  </si>
  <si>
    <t>unit</t>
  </si>
  <si>
    <t>Units</t>
  </si>
  <si>
    <t>source</t>
  </si>
  <si>
    <t>Steps Affected</t>
  </si>
  <si>
    <t>Rationale</t>
  </si>
  <si>
    <t>notes</t>
  </si>
  <si>
    <t>Sources</t>
  </si>
  <si>
    <t>JTBD Affected</t>
  </si>
  <si>
    <t>BM-01</t>
  </si>
  <si>
    <t>Evidence</t>
  </si>
  <si>
    <t>confidence_level</t>
  </si>
  <si>
    <t>dataset_length</t>
  </si>
  <si>
    <t>Stakeholders</t>
  </si>
  <si>
    <t>OP-01</t>
  </si>
  <si>
    <t>days</t>
  </si>
  <si>
    <t>Implementation Cost</t>
  </si>
  <si>
    <t>recovery activity tracker</t>
  </si>
  <si>
    <t>FA-01</t>
  </si>
  <si>
    <t>Payment Fulfillment Check &amp; Account Status</t>
  </si>
  <si>
    <t>The number of days of data in the recovery activity tracker</t>
  </si>
  <si>
    <t>representative_hourly_cost</t>
  </si>
  <si>
    <t>GBP</t>
  </si>
  <si>
    <t>Check whether the money has been paid in the legacy database
Flag account or move on worklist</t>
  </si>
  <si>
    <t>Low complexity of checking account status</t>
  </si>
  <si>
    <t>JTBD-04</t>
  </si>
  <si>
    <t>BM-02</t>
  </si>
  <si>
    <t>FA-12</t>
  </si>
  <si>
    <t>Finance workbook</t>
  </si>
  <si>
    <t>rep_actions</t>
  </si>
  <si>
    <t>SN-034, SN-007</t>
  </si>
  <si>
    <t>High</t>
  </si>
  <si>
    <t>Collections Representative, Finance Analyst</t>
  </si>
  <si>
    <t>actions</t>
  </si>
  <si>
    <t>Time Savings</t>
  </si>
  <si>
    <t>Blended representative hourly cost</t>
  </si>
  <si>
    <t>OP-02</t>
  </si>
  <si>
    <t>The total amount of representative actions taken in the data</t>
  </si>
  <si>
    <t>FA-02</t>
  </si>
  <si>
    <t>Automatic Case Assignment with Pre-Loaded Customer Details</t>
  </si>
  <si>
    <t>BM-03</t>
  </si>
  <si>
    <t>working_days_per_month</t>
  </si>
  <si>
    <t>Receive next case from worklist
Returns customer details
Returns customer contact history</t>
  </si>
  <si>
    <t>duplicated_actions</t>
  </si>
  <si>
    <t>SN-008, SN-023</t>
  </si>
  <si>
    <t>Operations Manager, Service Design Lead</t>
  </si>
  <si>
    <t>The number of representative actions which were duplicated</t>
  </si>
  <si>
    <t>OP-03</t>
  </si>
  <si>
    <t>BM-04</t>
  </si>
  <si>
    <t>Automated Record Logging &amp; System Synchronization</t>
  </si>
  <si>
    <t>awaiting_review</t>
  </si>
  <si>
    <t>Used for admin calculations</t>
  </si>
  <si>
    <t>Log contact attempt
Create internal email-as-record-keeping
Update tracker and legacy database</t>
  </si>
  <si>
    <t>FA-03</t>
  </si>
  <si>
    <t>JTBD-05</t>
  </si>
  <si>
    <t>straightforward_case_share</t>
  </si>
  <si>
    <t>SN-008, SN-038</t>
  </si>
  <si>
    <t>The number of actions needing review after completion.</t>
  </si>
  <si>
    <t>Operations Manager, Operations Analyst</t>
  </si>
  <si>
    <t>ratio</t>
  </si>
  <si>
    <t>BM-05</t>
  </si>
  <si>
    <t>Operations estimate</t>
  </si>
  <si>
    <t>left_message</t>
  </si>
  <si>
    <t>OP-04</t>
  </si>
  <si>
    <t>Medium</t>
  </si>
  <si>
    <t>Suitable for rules-driven self-service</t>
  </si>
  <si>
    <t>Automated Case Classification and Complexity Triage</t>
  </si>
  <si>
    <t>FA-04</t>
  </si>
  <si>
    <t>Check account legacy status
Customer identity checked</t>
  </si>
  <si>
    <t>Number of actions needed for times the representative left a message for a customer.</t>
  </si>
  <si>
    <t>avg_straightforward_case_minutes</t>
  </si>
  <si>
    <t>JTBD-02</t>
  </si>
  <si>
    <t>BM-06</t>
  </si>
  <si>
    <t>SN-038</t>
  </si>
  <si>
    <t>minutes</t>
  </si>
  <si>
    <t>next_action_unclear</t>
  </si>
  <si>
    <t>Operations Analyst</t>
  </si>
  <si>
    <t>Operations leadership</t>
  </si>
  <si>
    <t>OP-05</t>
  </si>
  <si>
    <t>Savings on status checks on all cases over a whole year.</t>
  </si>
  <si>
    <t>Current case handling time</t>
  </si>
  <si>
    <t>BM-18</t>
  </si>
  <si>
    <t>Intelligent Case Prioritization and Contact Sequencing</t>
  </si>
  <si>
    <t>Number of action where the next step was unclear.</t>
  </si>
  <si>
    <t>FA-05</t>
  </si>
  <si>
    <t>Receive the worklist
Contact the customer</t>
  </si>
  <si>
    <t>target_straightforward_case_minutes</t>
  </si>
  <si>
    <t>BM-07</t>
  </si>
  <si>
    <t>JTBD-03</t>
  </si>
  <si>
    <t>no_reply</t>
  </si>
  <si>
    <t>SN-007, SN-026</t>
  </si>
  <si>
    <t>Yearly Wage Savings</t>
  </si>
  <si>
    <t>Operations target</t>
  </si>
  <si>
    <t>Finance Analyst</t>
  </si>
  <si>
    <t>Target after automation support</t>
  </si>
  <si>
    <t>OP-06</t>
  </si>
  <si>
    <t>Number of actions for cases which received no reply.</t>
  </si>
  <si>
    <t>FA-06</t>
  </si>
  <si>
    <t>Automated Recontact Flagging and Follow-Up Scheduling</t>
  </si>
  <si>
    <t>missed_follow_up_rate</t>
  </si>
  <si>
    <t>BM-08</t>
  </si>
  <si>
    <t>Log contact attempt outcome
Flag account or move on worklist
Create scheduled callback reminder</t>
  </si>
  <si>
    <t>promise_to_pay</t>
  </si>
  <si>
    <t>Activity tracker analysis</t>
  </si>
  <si>
    <t>Indicative rate of missed or delayed follow-up</t>
  </si>
  <si>
    <t>Number of actions for cases resulting in a promise to pay.</t>
  </si>
  <si>
    <t>OP-07</t>
  </si>
  <si>
    <t>FA-07</t>
  </si>
  <si>
    <t>BM-09</t>
  </si>
  <si>
    <t>Customer Self-Service Portal for Account Updates and Simplified Payment</t>
  </si>
  <si>
    <t>sent_to_specialist</t>
  </si>
  <si>
    <t>recovery_uplift_for_plan_selection</t>
  </si>
  <si>
    <t>Contact the customer
Negotiate payment options with customer
Take arrangement details
Receive payment</t>
  </si>
  <si>
    <t>JTBD-01, JTBD-04</t>
  </si>
  <si>
    <t>SN-008, SN-038, SN-023</t>
  </si>
  <si>
    <t>Number of actions for cases sent to a specialist.</t>
  </si>
  <si>
    <t>Operations Manager, Operations Analyst, Service Design Lead</t>
  </si>
  <si>
    <t>BM-10</t>
  </si>
  <si>
    <t>updating_row</t>
  </si>
  <si>
    <t>Finance estimate</t>
  </si>
  <si>
    <t>Low</t>
  </si>
  <si>
    <t>Test in sensitivity analysis</t>
  </si>
  <si>
    <t>Number of actions needed for updating a row.</t>
  </si>
  <si>
    <t>Minutes saved turned into annual rep wages saved.</t>
  </si>
  <si>
    <t>FA-01, BM-01</t>
  </si>
  <si>
    <t>BM-11</t>
  </si>
  <si>
    <t>FA-08</t>
  </si>
  <si>
    <t>view_status</t>
  </si>
  <si>
    <t>recovery_uplift_for_promise_capture</t>
  </si>
  <si>
    <t>Recovery Uplift</t>
  </si>
  <si>
    <t>Number of actions in order to view status of a case.</t>
  </si>
  <si>
    <t>No expected revenue uplift</t>
  </si>
  <si>
    <t>BM-12</t>
  </si>
  <si>
    <t>call_attempt</t>
  </si>
  <si>
    <t>Additional Benefits</t>
  </si>
  <si>
    <t>Scenario based</t>
  </si>
  <si>
    <t>None</t>
  </si>
  <si>
    <t>FA-09</t>
  </si>
  <si>
    <t>Total minutes spent attempting a call.</t>
  </si>
  <si>
    <t>monthly_recovery_conservative</t>
  </si>
  <si>
    <t>BM-13</t>
  </si>
  <si>
    <t>Conservative</t>
  </si>
  <si>
    <t>email_sent</t>
  </si>
  <si>
    <t>Baseline</t>
  </si>
  <si>
    <t>Optimistic</t>
  </si>
  <si>
    <t>annual total benefit</t>
  </si>
  <si>
    <t>Total minutes spent sending emails.</t>
  </si>
  <si>
    <t>Predicted from FA-10</t>
  </si>
  <si>
    <t>BM-14</t>
  </si>
  <si>
    <t>escalation</t>
  </si>
  <si>
    <t>10% decrease</t>
  </si>
  <si>
    <t>Total minutes spent on escalating a case.</t>
  </si>
  <si>
    <t>FA-10</t>
  </si>
  <si>
    <t>BM-15</t>
  </si>
  <si>
    <t>monthly_recovery_baseline</t>
  </si>
  <si>
    <t>manual_plan_note</t>
  </si>
  <si>
    <t>Baseline monthly recoveries</t>
  </si>
  <si>
    <t>FA-11</t>
  </si>
  <si>
    <t>monthly_recovery_optimistic</t>
  </si>
  <si>
    <t>10% increase</t>
  </si>
  <si>
    <t>implementation_cost_low_complexity</t>
  </si>
  <si>
    <t>Product delivery estimate</t>
  </si>
  <si>
    <t>Starter figure</t>
  </si>
  <si>
    <t>FA-13</t>
  </si>
  <si>
    <t>implementation_cost_medium_complexity</t>
  </si>
  <si>
    <t>Total minutes spent making a manual note of payment plans.</t>
  </si>
  <si>
    <t>BM-16</t>
  </si>
  <si>
    <t>sms_reminder</t>
  </si>
  <si>
    <t>Total minutes spent sending text reminders.</t>
  </si>
  <si>
    <t>BM-17</t>
  </si>
  <si>
    <t>FA-14</t>
  </si>
  <si>
    <t>spreadsheet_reconcile</t>
  </si>
  <si>
    <t>net benefit</t>
  </si>
  <si>
    <t>productivity_rate_conservative</t>
  </si>
  <si>
    <t>Total minutes spent reconciling spreadsheet trackers.</t>
  </si>
  <si>
    <t>pct</t>
  </si>
  <si>
    <t>status_check</t>
  </si>
  <si>
    <t>link</t>
  </si>
  <si>
    <t>Total minutes spent checking account statuses.</t>
  </si>
  <si>
    <t>BM-19</t>
  </si>
  <si>
    <t>Total rep minutes spend where the next action was unclear.</t>
  </si>
  <si>
    <t>12-month ROI (%)</t>
  </si>
  <si>
    <t>payback period (days)</t>
  </si>
  <si>
    <t>Prediction from FA-15</t>
  </si>
  <si>
    <t>FA-15</t>
  </si>
  <si>
    <t>baseline_productivity_rate</t>
  </si>
  <si>
    <t>Figures from productivity survey</t>
  </si>
  <si>
    <t>FA-16</t>
  </si>
  <si>
    <t>productivity_rate_optimistic</t>
  </si>
  <si>
    <t>FA-17</t>
  </si>
  <si>
    <t>Low complexity of assigning statuses to cases</t>
  </si>
  <si>
    <t>straightforward_case_share_conservative</t>
  </si>
  <si>
    <t>Predicted from FA-03</t>
  </si>
  <si>
    <t>Some straightforward cases not able to be completed through portal</t>
  </si>
  <si>
    <t>FA-18</t>
  </si>
  <si>
    <t>straightforward_case_share_optimistic</t>
  </si>
  <si>
    <t>More cases than though able to be completed through portal</t>
  </si>
  <si>
    <t>FA-19</t>
  </si>
  <si>
    <t>delinquent_accounts</t>
  </si>
  <si>
    <t>number</t>
  </si>
  <si>
    <t>Case study</t>
  </si>
  <si>
    <t>Number of delinquent accounts given in the case study</t>
  </si>
  <si>
    <t>Savings on emails sent and spreadsheet reconciliation on straightforward cases over a whole year.</t>
  </si>
  <si>
    <t>FA-03, BM-13, BM-17</t>
  </si>
  <si>
    <t>Prioritisation of cases is a simple algorithm.</t>
  </si>
  <si>
    <t>Savings on time reps spend unsure of next action for a year of straightforward cases.</t>
  </si>
  <si>
    <t>FA-03, BM-19</t>
  </si>
  <si>
    <t>Rank</t>
  </si>
  <si>
    <t>Implementation Effort</t>
  </si>
  <si>
    <t>Confidence In Assumptions</t>
  </si>
  <si>
    <t>Relevance</t>
  </si>
  <si>
    <t>Summary:</t>
  </si>
  <si>
    <t>The best opportunity by far is opportunity 7, which is building a self-serve portal for customers to take basic account actions and making payments.
It results in by far the best ROI, is highly relevant to the brief and we have reasonable confidence in the predicted numbers.
The only downside is that it will have a higher cost of implementation than other ideas.</t>
  </si>
  <si>
    <t>Medium complexity of building scheduling system.</t>
  </si>
  <si>
    <t>Savings on making manual notes for a year of straightforward cases.</t>
  </si>
  <si>
    <t>Customer Satisfaction</t>
  </si>
  <si>
    <t>Medium complexity of building new portal</t>
  </si>
  <si>
    <t>Savings on call attempts, emails sent, manual plan notes, spreadsheet reconciliations
and status checks on straightforward cases over a whole year.</t>
  </si>
  <si>
    <t>FA-03, BM-01, BM-12, BM-13, BM-15, BM-17, BM-18</t>
  </si>
  <si>
    <t>Baseline case with uplift from promise capture and plan selection. Annual figure.</t>
  </si>
  <si>
    <t xml:space="preserve">FA-03, FA-07, FA-08, FA-10, </t>
  </si>
  <si>
    <t>Analyst Observation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</si>
</sst>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vouchercloud.com/better-living/office-worker-productivity" TargetMode="External"/><Relationship Id="rId2" Type="http://schemas.openxmlformats.org/officeDocument/2006/relationships/hyperlink" Target="https://www.vouchercloud.com/better-living/office-worker-productivity" TargetMode="External"/><Relationship Id="rId3" Type="http://schemas.openxmlformats.org/officeDocument/2006/relationships/hyperlink" Target="https://www.vouchercloud.com/better-living/office-worker-productivity"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5"/>
    <col customWidth="1" min="2" max="2" width="31.88"/>
    <col customWidth="1" min="3" max="3" width="7.5"/>
    <col customWidth="1" min="4" max="4" width="6.88"/>
    <col customWidth="1" min="5" max="5" width="19.75"/>
    <col customWidth="1" min="6" max="6" width="13.38"/>
    <col customWidth="1" min="7" max="7" width="51.13"/>
  </cols>
  <sheetData>
    <row r="1">
      <c r="A1" s="1" t="s">
        <v>2</v>
      </c>
      <c r="B1" s="1" t="s">
        <v>4</v>
      </c>
      <c r="C1" s="1" t="s">
        <v>6</v>
      </c>
      <c r="D1" s="1" t="s">
        <v>9</v>
      </c>
      <c r="E1" s="1" t="s">
        <v>11</v>
      </c>
      <c r="F1" s="1" t="s">
        <v>19</v>
      </c>
      <c r="G1" s="1" t="s">
        <v>14</v>
      </c>
    </row>
    <row r="2">
      <c r="A2" s="1" t="s">
        <v>26</v>
      </c>
      <c r="B2" s="1" t="s">
        <v>29</v>
      </c>
      <c r="C2" s="1">
        <v>22.0</v>
      </c>
      <c r="D2" s="1" t="s">
        <v>30</v>
      </c>
      <c r="E2" s="1" t="s">
        <v>36</v>
      </c>
      <c r="F2" s="1" t="s">
        <v>39</v>
      </c>
      <c r="G2" s="1" t="s">
        <v>43</v>
      </c>
    </row>
    <row r="3">
      <c r="A3" s="1" t="s">
        <v>46</v>
      </c>
      <c r="B3" s="1" t="s">
        <v>49</v>
      </c>
      <c r="C3" s="1">
        <v>21.0</v>
      </c>
      <c r="D3" s="1" t="s">
        <v>23</v>
      </c>
      <c r="E3" s="1" t="s">
        <v>36</v>
      </c>
      <c r="F3" s="1" t="s">
        <v>39</v>
      </c>
      <c r="G3" s="1" t="s">
        <v>59</v>
      </c>
    </row>
    <row r="4">
      <c r="A4" s="1" t="s">
        <v>61</v>
      </c>
      <c r="B4" s="1" t="s">
        <v>63</v>
      </c>
      <c r="C4" s="1">
        <v>0.38</v>
      </c>
      <c r="D4" s="1" t="s">
        <v>67</v>
      </c>
      <c r="E4" s="1" t="s">
        <v>69</v>
      </c>
      <c r="F4" s="1" t="s">
        <v>72</v>
      </c>
      <c r="G4" s="1" t="s">
        <v>73</v>
      </c>
    </row>
    <row r="5">
      <c r="A5" s="1" t="s">
        <v>75</v>
      </c>
      <c r="B5" s="1" t="s">
        <v>78</v>
      </c>
      <c r="C5" s="1">
        <v>18.0</v>
      </c>
      <c r="D5" s="1" t="s">
        <v>82</v>
      </c>
      <c r="E5" s="1" t="s">
        <v>85</v>
      </c>
      <c r="F5" s="1" t="s">
        <v>72</v>
      </c>
      <c r="G5" s="1" t="s">
        <v>88</v>
      </c>
    </row>
    <row r="6">
      <c r="A6" s="1" t="s">
        <v>92</v>
      </c>
      <c r="B6" s="1" t="s">
        <v>94</v>
      </c>
      <c r="C6" s="1">
        <v>10.0</v>
      </c>
      <c r="D6" s="1" t="s">
        <v>82</v>
      </c>
      <c r="E6" s="1" t="s">
        <v>100</v>
      </c>
      <c r="F6" s="1" t="s">
        <v>72</v>
      </c>
      <c r="G6" s="1" t="s">
        <v>102</v>
      </c>
    </row>
    <row r="7">
      <c r="A7" s="1" t="s">
        <v>105</v>
      </c>
      <c r="B7" s="1" t="s">
        <v>107</v>
      </c>
      <c r="C7" s="1">
        <v>0.14</v>
      </c>
      <c r="D7" s="1" t="s">
        <v>67</v>
      </c>
      <c r="E7" s="1" t="s">
        <v>111</v>
      </c>
      <c r="F7" s="1" t="s">
        <v>72</v>
      </c>
      <c r="G7" s="1" t="s">
        <v>112</v>
      </c>
    </row>
    <row r="8">
      <c r="A8" s="1" t="s">
        <v>115</v>
      </c>
      <c r="B8" s="1" t="s">
        <v>119</v>
      </c>
      <c r="C8" s="1">
        <v>0.04</v>
      </c>
      <c r="D8" s="1" t="s">
        <v>67</v>
      </c>
      <c r="E8" s="1" t="s">
        <v>127</v>
      </c>
      <c r="F8" s="1" t="s">
        <v>128</v>
      </c>
      <c r="G8" s="1" t="s">
        <v>129</v>
      </c>
    </row>
    <row r="9">
      <c r="A9" s="1" t="s">
        <v>134</v>
      </c>
      <c r="B9" s="1" t="s">
        <v>136</v>
      </c>
      <c r="C9" s="1">
        <v>0.025</v>
      </c>
      <c r="D9" s="1" t="s">
        <v>67</v>
      </c>
      <c r="E9" s="1" t="s">
        <v>127</v>
      </c>
      <c r="F9" s="1" t="s">
        <v>128</v>
      </c>
      <c r="G9" s="1" t="s">
        <v>143</v>
      </c>
    </row>
    <row r="10">
      <c r="A10" s="1" t="s">
        <v>145</v>
      </c>
      <c r="B10" s="1" t="s">
        <v>147</v>
      </c>
      <c r="C10" s="1">
        <v>7200000.0</v>
      </c>
      <c r="D10" s="1" t="s">
        <v>30</v>
      </c>
      <c r="E10" s="1" t="s">
        <v>155</v>
      </c>
      <c r="F10" s="1" t="s">
        <v>128</v>
      </c>
      <c r="G10" s="1" t="s">
        <v>158</v>
      </c>
    </row>
    <row r="11">
      <c r="A11" s="1" t="s">
        <v>160</v>
      </c>
      <c r="B11" s="1" t="s">
        <v>162</v>
      </c>
      <c r="C11" s="1">
        <v>8000000.0</v>
      </c>
      <c r="D11" s="1" t="s">
        <v>30</v>
      </c>
      <c r="E11" s="1" t="s">
        <v>36</v>
      </c>
      <c r="F11" s="1" t="s">
        <v>72</v>
      </c>
      <c r="G11" s="1" t="s">
        <v>164</v>
      </c>
    </row>
    <row r="12">
      <c r="A12" s="1" t="s">
        <v>165</v>
      </c>
      <c r="B12" s="1" t="s">
        <v>166</v>
      </c>
      <c r="C12" s="1">
        <v>8800000.0</v>
      </c>
      <c r="D12" s="1" t="s">
        <v>30</v>
      </c>
      <c r="E12" s="1" t="s">
        <v>155</v>
      </c>
      <c r="F12" s="1" t="s">
        <v>128</v>
      </c>
      <c r="G12" s="1" t="s">
        <v>167</v>
      </c>
    </row>
    <row r="13">
      <c r="A13" s="1" t="s">
        <v>35</v>
      </c>
      <c r="B13" s="1" t="s">
        <v>168</v>
      </c>
      <c r="C13" s="1">
        <v>45000.0</v>
      </c>
      <c r="D13" s="1" t="s">
        <v>30</v>
      </c>
      <c r="E13" s="1" t="s">
        <v>169</v>
      </c>
      <c r="F13" s="1" t="s">
        <v>72</v>
      </c>
      <c r="G13" s="1" t="s">
        <v>170</v>
      </c>
    </row>
    <row r="14">
      <c r="A14" s="1" t="s">
        <v>171</v>
      </c>
      <c r="B14" s="1" t="s">
        <v>172</v>
      </c>
      <c r="C14" s="1">
        <v>85000.0</v>
      </c>
      <c r="D14" s="1" t="s">
        <v>30</v>
      </c>
      <c r="E14" s="1" t="s">
        <v>169</v>
      </c>
      <c r="F14" s="1" t="s">
        <v>72</v>
      </c>
      <c r="G14" s="1" t="s">
        <v>170</v>
      </c>
    </row>
    <row r="15">
      <c r="A15" s="1" t="s">
        <v>178</v>
      </c>
      <c r="B15" s="1" t="s">
        <v>181</v>
      </c>
      <c r="C15" s="1">
        <v>25.0</v>
      </c>
      <c r="D15" s="1" t="s">
        <v>183</v>
      </c>
      <c r="E15" s="4" t="s">
        <v>185</v>
      </c>
      <c r="F15" s="1" t="s">
        <v>128</v>
      </c>
      <c r="G15" s="1" t="s">
        <v>191</v>
      </c>
    </row>
    <row r="16">
      <c r="A16" s="1" t="s">
        <v>192</v>
      </c>
      <c r="B16" s="1" t="s">
        <v>193</v>
      </c>
      <c r="C16" s="1">
        <v>36.0</v>
      </c>
      <c r="D16" s="1" t="s">
        <v>183</v>
      </c>
      <c r="E16" s="4" t="s">
        <v>185</v>
      </c>
      <c r="F16" s="1" t="s">
        <v>72</v>
      </c>
      <c r="G16" s="1" t="s">
        <v>194</v>
      </c>
    </row>
    <row r="17">
      <c r="A17" s="1" t="s">
        <v>195</v>
      </c>
      <c r="B17" s="1" t="s">
        <v>196</v>
      </c>
      <c r="C17" s="1">
        <v>50.0</v>
      </c>
      <c r="D17" s="1" t="s">
        <v>183</v>
      </c>
      <c r="E17" s="4" t="s">
        <v>185</v>
      </c>
      <c r="F17" s="1" t="s">
        <v>128</v>
      </c>
      <c r="G17" s="1" t="s">
        <v>191</v>
      </c>
    </row>
    <row r="18">
      <c r="A18" s="1" t="s">
        <v>197</v>
      </c>
      <c r="B18" s="1" t="s">
        <v>199</v>
      </c>
      <c r="C18" s="1">
        <v>0.3</v>
      </c>
      <c r="D18" s="1" t="s">
        <v>67</v>
      </c>
      <c r="E18" s="1" t="s">
        <v>200</v>
      </c>
      <c r="F18" s="1" t="s">
        <v>128</v>
      </c>
      <c r="G18" s="1" t="s">
        <v>201</v>
      </c>
    </row>
    <row r="19">
      <c r="A19" s="1" t="s">
        <v>202</v>
      </c>
      <c r="B19" s="1" t="s">
        <v>203</v>
      </c>
      <c r="C19" s="1">
        <v>0.5</v>
      </c>
      <c r="D19" s="1" t="s">
        <v>67</v>
      </c>
      <c r="E19" s="1" t="s">
        <v>200</v>
      </c>
      <c r="F19" s="1" t="s">
        <v>128</v>
      </c>
      <c r="G19" s="1" t="s">
        <v>204</v>
      </c>
    </row>
    <row r="20">
      <c r="A20" s="1" t="s">
        <v>205</v>
      </c>
      <c r="B20" s="1" t="s">
        <v>206</v>
      </c>
      <c r="C20" s="1">
        <v>100000.0</v>
      </c>
      <c r="D20" s="1" t="s">
        <v>207</v>
      </c>
      <c r="E20" s="1" t="s">
        <v>208</v>
      </c>
      <c r="F20" s="1" t="s">
        <v>72</v>
      </c>
      <c r="G20" s="1" t="s">
        <v>209</v>
      </c>
    </row>
  </sheetData>
  <hyperlinks>
    <hyperlink r:id="rId1" ref="E15"/>
    <hyperlink r:id="rId2" ref="E16"/>
    <hyperlink r:id="rId3" ref="E17"/>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17.75"/>
    <col customWidth="1" min="3" max="3" width="5.63"/>
    <col customWidth="1" min="4" max="4" width="6.88"/>
    <col customWidth="1" min="5" max="5" width="18.5"/>
    <col customWidth="1" min="6" max="6" width="64.0"/>
  </cols>
  <sheetData>
    <row r="1">
      <c r="A1" s="1" t="s">
        <v>0</v>
      </c>
      <c r="B1" s="1" t="s">
        <v>3</v>
      </c>
      <c r="C1" s="1" t="s">
        <v>6</v>
      </c>
      <c r="D1" s="1" t="s">
        <v>9</v>
      </c>
      <c r="E1" s="1" t="s">
        <v>11</v>
      </c>
      <c r="F1" s="1" t="s">
        <v>14</v>
      </c>
    </row>
    <row r="2">
      <c r="A2" s="1" t="s">
        <v>17</v>
      </c>
      <c r="B2" s="1" t="s">
        <v>20</v>
      </c>
      <c r="C2" s="1">
        <v>67.0</v>
      </c>
      <c r="D2" s="1" t="s">
        <v>23</v>
      </c>
      <c r="E2" s="1" t="s">
        <v>25</v>
      </c>
      <c r="F2" s="1" t="s">
        <v>28</v>
      </c>
    </row>
    <row r="3">
      <c r="A3" s="1" t="s">
        <v>34</v>
      </c>
      <c r="B3" s="1" t="s">
        <v>37</v>
      </c>
      <c r="C3" s="1">
        <v>9890.0</v>
      </c>
      <c r="D3" s="1" t="s">
        <v>41</v>
      </c>
      <c r="E3" s="1" t="s">
        <v>25</v>
      </c>
      <c r="F3" s="1" t="s">
        <v>45</v>
      </c>
    </row>
    <row r="4">
      <c r="A4" s="1" t="s">
        <v>48</v>
      </c>
      <c r="B4" s="1" t="s">
        <v>51</v>
      </c>
      <c r="C4" s="1">
        <v>2020.0</v>
      </c>
      <c r="D4" s="1" t="s">
        <v>41</v>
      </c>
      <c r="E4" s="1" t="s">
        <v>25</v>
      </c>
      <c r="F4" s="1" t="s">
        <v>54</v>
      </c>
    </row>
    <row r="5">
      <c r="A5" s="1" t="s">
        <v>56</v>
      </c>
      <c r="B5" s="1" t="s">
        <v>58</v>
      </c>
      <c r="C5" s="1">
        <v>1233.0</v>
      </c>
      <c r="D5" s="1" t="s">
        <v>41</v>
      </c>
      <c r="E5" s="1" t="s">
        <v>25</v>
      </c>
      <c r="F5" s="1" t="s">
        <v>65</v>
      </c>
    </row>
    <row r="6">
      <c r="A6" s="1" t="s">
        <v>68</v>
      </c>
      <c r="B6" s="1" t="s">
        <v>70</v>
      </c>
      <c r="C6" s="1">
        <v>1249.0</v>
      </c>
      <c r="D6" s="1" t="s">
        <v>41</v>
      </c>
      <c r="E6" s="1" t="s">
        <v>25</v>
      </c>
      <c r="F6" s="1" t="s">
        <v>77</v>
      </c>
    </row>
    <row r="7">
      <c r="A7" s="1" t="s">
        <v>80</v>
      </c>
      <c r="B7" s="1" t="s">
        <v>83</v>
      </c>
      <c r="C7" s="1">
        <v>1275.0</v>
      </c>
      <c r="D7" s="1" t="s">
        <v>41</v>
      </c>
      <c r="E7" s="1" t="s">
        <v>25</v>
      </c>
      <c r="F7" s="1" t="s">
        <v>91</v>
      </c>
    </row>
    <row r="8">
      <c r="A8" s="1" t="s">
        <v>95</v>
      </c>
      <c r="B8" s="1" t="s">
        <v>97</v>
      </c>
      <c r="C8" s="1">
        <v>1201.0</v>
      </c>
      <c r="D8" s="1" t="s">
        <v>41</v>
      </c>
      <c r="E8" s="1" t="s">
        <v>25</v>
      </c>
      <c r="F8" s="1" t="s">
        <v>104</v>
      </c>
    </row>
    <row r="9">
      <c r="A9" s="1" t="s">
        <v>108</v>
      </c>
      <c r="B9" s="1" t="s">
        <v>110</v>
      </c>
      <c r="C9" s="1">
        <v>1195.0</v>
      </c>
      <c r="D9" s="1" t="s">
        <v>41</v>
      </c>
      <c r="E9" s="1" t="s">
        <v>25</v>
      </c>
      <c r="F9" s="1" t="s">
        <v>113</v>
      </c>
    </row>
    <row r="10">
      <c r="A10" s="1" t="s">
        <v>116</v>
      </c>
      <c r="B10" s="1" t="s">
        <v>118</v>
      </c>
      <c r="C10" s="1">
        <v>1268.0</v>
      </c>
      <c r="D10" s="1" t="s">
        <v>41</v>
      </c>
      <c r="E10" s="1" t="s">
        <v>25</v>
      </c>
      <c r="F10" s="1" t="s">
        <v>123</v>
      </c>
    </row>
    <row r="11">
      <c r="A11" s="1" t="s">
        <v>125</v>
      </c>
      <c r="B11" s="1" t="s">
        <v>126</v>
      </c>
      <c r="C11" s="1">
        <v>1233.0</v>
      </c>
      <c r="D11" s="1" t="s">
        <v>41</v>
      </c>
      <c r="E11" s="1" t="s">
        <v>25</v>
      </c>
      <c r="F11" s="1" t="s">
        <v>130</v>
      </c>
    </row>
    <row r="12">
      <c r="A12" s="1" t="s">
        <v>133</v>
      </c>
      <c r="B12" s="1" t="s">
        <v>135</v>
      </c>
      <c r="C12" s="1">
        <v>2468.0</v>
      </c>
      <c r="D12" s="1" t="s">
        <v>41</v>
      </c>
      <c r="E12" s="1" t="s">
        <v>25</v>
      </c>
      <c r="F12" s="1" t="s">
        <v>138</v>
      </c>
    </row>
    <row r="13">
      <c r="A13" s="1" t="s">
        <v>140</v>
      </c>
      <c r="B13" s="1" t="s">
        <v>141</v>
      </c>
      <c r="C13" s="1">
        <v>15312.0</v>
      </c>
      <c r="D13" s="1" t="s">
        <v>82</v>
      </c>
      <c r="E13" s="1" t="s">
        <v>25</v>
      </c>
      <c r="F13" s="1" t="s">
        <v>146</v>
      </c>
    </row>
    <row r="14">
      <c r="A14" s="1" t="s">
        <v>148</v>
      </c>
      <c r="B14" s="1" t="s">
        <v>150</v>
      </c>
      <c r="C14" s="1">
        <v>7580.0</v>
      </c>
      <c r="D14" s="1" t="s">
        <v>82</v>
      </c>
      <c r="E14" s="1" t="s">
        <v>25</v>
      </c>
      <c r="F14" s="1" t="s">
        <v>154</v>
      </c>
    </row>
    <row r="15">
      <c r="A15" s="1" t="s">
        <v>156</v>
      </c>
      <c r="B15" s="1" t="s">
        <v>157</v>
      </c>
      <c r="C15" s="1">
        <v>12025.0</v>
      </c>
      <c r="D15" s="1" t="s">
        <v>82</v>
      </c>
      <c r="E15" s="1" t="s">
        <v>25</v>
      </c>
      <c r="F15" s="1" t="s">
        <v>159</v>
      </c>
    </row>
    <row r="16">
      <c r="A16" s="1" t="s">
        <v>161</v>
      </c>
      <c r="B16" s="1" t="s">
        <v>163</v>
      </c>
      <c r="C16" s="1">
        <v>10554.0</v>
      </c>
      <c r="D16" s="1" t="s">
        <v>82</v>
      </c>
      <c r="E16" s="1" t="s">
        <v>25</v>
      </c>
      <c r="F16" s="1" t="s">
        <v>173</v>
      </c>
    </row>
    <row r="17">
      <c r="A17" s="1" t="s">
        <v>174</v>
      </c>
      <c r="B17" s="1" t="s">
        <v>175</v>
      </c>
      <c r="C17" s="1">
        <v>4285.0</v>
      </c>
      <c r="D17" s="1" t="s">
        <v>82</v>
      </c>
      <c r="E17" s="1" t="s">
        <v>25</v>
      </c>
      <c r="F17" s="1" t="s">
        <v>176</v>
      </c>
    </row>
    <row r="18">
      <c r="A18" s="1" t="s">
        <v>177</v>
      </c>
      <c r="B18" s="1" t="s">
        <v>179</v>
      </c>
      <c r="C18" s="1">
        <v>13123.0</v>
      </c>
      <c r="D18" s="1" t="s">
        <v>82</v>
      </c>
      <c r="E18" s="1" t="s">
        <v>25</v>
      </c>
      <c r="F18" s="1" t="s">
        <v>182</v>
      </c>
    </row>
    <row r="19">
      <c r="A19" s="1" t="s">
        <v>89</v>
      </c>
      <c r="B19" s="1" t="s">
        <v>184</v>
      </c>
      <c r="C19" s="1">
        <v>6347.0</v>
      </c>
      <c r="D19" s="1" t="s">
        <v>82</v>
      </c>
      <c r="E19" s="1" t="s">
        <v>25</v>
      </c>
      <c r="F19" s="1" t="s">
        <v>186</v>
      </c>
    </row>
    <row r="20">
      <c r="A20" s="1" t="s">
        <v>187</v>
      </c>
      <c r="B20" s="1" t="s">
        <v>83</v>
      </c>
      <c r="C20" s="1">
        <v>8897.0</v>
      </c>
      <c r="D20" s="1" t="s">
        <v>82</v>
      </c>
      <c r="E20" s="1" t="s">
        <v>25</v>
      </c>
      <c r="F20" s="1" t="s">
        <v>188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5"/>
    <col customWidth="1" min="2" max="2" width="56.0"/>
    <col customWidth="1" min="3" max="3" width="48.38"/>
    <col customWidth="1" min="4" max="4" width="15.13"/>
    <col customWidth="1" min="5" max="5" width="19.75"/>
    <col customWidth="1" min="6" max="6" width="47.63"/>
  </cols>
  <sheetData>
    <row r="1">
      <c r="A1" s="1" t="s">
        <v>1</v>
      </c>
      <c r="B1" s="1" t="s">
        <v>8</v>
      </c>
      <c r="C1" s="1" t="s">
        <v>12</v>
      </c>
      <c r="D1" s="1" t="s">
        <v>16</v>
      </c>
      <c r="E1" s="1" t="s">
        <v>18</v>
      </c>
      <c r="F1" s="1" t="s">
        <v>21</v>
      </c>
    </row>
    <row r="2">
      <c r="A2" s="1" t="s">
        <v>22</v>
      </c>
      <c r="B2" s="1" t="s">
        <v>27</v>
      </c>
      <c r="C2" s="1" t="s">
        <v>31</v>
      </c>
      <c r="D2" s="1" t="s">
        <v>33</v>
      </c>
      <c r="E2" s="1" t="s">
        <v>38</v>
      </c>
      <c r="F2" s="1" t="s">
        <v>40</v>
      </c>
    </row>
    <row r="3">
      <c r="A3" s="1" t="s">
        <v>44</v>
      </c>
      <c r="B3" s="1" t="s">
        <v>47</v>
      </c>
      <c r="C3" s="1" t="s">
        <v>50</v>
      </c>
      <c r="D3" s="1" t="s">
        <v>33</v>
      </c>
      <c r="E3" s="1" t="s">
        <v>52</v>
      </c>
      <c r="F3" s="1" t="s">
        <v>53</v>
      </c>
    </row>
    <row r="4">
      <c r="A4" s="1" t="s">
        <v>55</v>
      </c>
      <c r="B4" s="1" t="s">
        <v>57</v>
      </c>
      <c r="C4" s="1" t="s">
        <v>60</v>
      </c>
      <c r="D4" s="1" t="s">
        <v>62</v>
      </c>
      <c r="E4" s="1" t="s">
        <v>64</v>
      </c>
      <c r="F4" s="1" t="s">
        <v>66</v>
      </c>
    </row>
    <row r="5">
      <c r="A5" s="1" t="s">
        <v>71</v>
      </c>
      <c r="B5" s="1" t="s">
        <v>74</v>
      </c>
      <c r="C5" s="1" t="s">
        <v>76</v>
      </c>
      <c r="D5" s="1" t="s">
        <v>79</v>
      </c>
      <c r="E5" s="1" t="s">
        <v>81</v>
      </c>
      <c r="F5" s="1" t="s">
        <v>84</v>
      </c>
    </row>
    <row r="6">
      <c r="A6" s="1" t="s">
        <v>86</v>
      </c>
      <c r="B6" s="1" t="s">
        <v>90</v>
      </c>
      <c r="C6" s="1" t="s">
        <v>93</v>
      </c>
      <c r="D6" s="1" t="s">
        <v>96</v>
      </c>
      <c r="E6" s="1" t="s">
        <v>98</v>
      </c>
      <c r="F6" s="1" t="s">
        <v>101</v>
      </c>
    </row>
    <row r="7">
      <c r="A7" s="1" t="s">
        <v>103</v>
      </c>
      <c r="B7" s="1" t="s">
        <v>106</v>
      </c>
      <c r="C7" s="1" t="s">
        <v>109</v>
      </c>
      <c r="D7" s="1" t="s">
        <v>33</v>
      </c>
      <c r="E7" s="1" t="s">
        <v>38</v>
      </c>
      <c r="F7" s="1" t="s">
        <v>40</v>
      </c>
    </row>
    <row r="8">
      <c r="A8" s="1" t="s">
        <v>114</v>
      </c>
      <c r="B8" s="1" t="s">
        <v>117</v>
      </c>
      <c r="C8" s="1" t="s">
        <v>120</v>
      </c>
      <c r="D8" s="1" t="s">
        <v>121</v>
      </c>
      <c r="E8" s="1" t="s">
        <v>122</v>
      </c>
      <c r="F8" s="1" t="s">
        <v>124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16.75"/>
    <col customWidth="1" min="3" max="3" width="17.25"/>
    <col customWidth="1" min="4" max="4" width="11.13"/>
    <col customWidth="1" min="5" max="5" width="73.75"/>
    <col customWidth="1" min="6" max="6" width="40.5"/>
  </cols>
  <sheetData>
    <row r="1">
      <c r="A1" s="2" t="s">
        <v>1</v>
      </c>
      <c r="B1" s="2" t="s">
        <v>5</v>
      </c>
      <c r="C1" s="2" t="s">
        <v>7</v>
      </c>
      <c r="D1" s="2" t="s">
        <v>10</v>
      </c>
      <c r="E1" s="2" t="s">
        <v>13</v>
      </c>
      <c r="F1" s="2" t="s">
        <v>15</v>
      </c>
    </row>
    <row r="2">
      <c r="A2" s="1" t="s">
        <v>22</v>
      </c>
      <c r="B2" s="1" t="s">
        <v>24</v>
      </c>
      <c r="C2" s="1">
        <v>45000.0</v>
      </c>
      <c r="D2" s="1" t="s">
        <v>30</v>
      </c>
      <c r="E2" s="1" t="s">
        <v>32</v>
      </c>
      <c r="F2" s="1" t="s">
        <v>35</v>
      </c>
    </row>
    <row r="3">
      <c r="A3" s="1" t="s">
        <v>22</v>
      </c>
      <c r="B3" s="1" t="s">
        <v>42</v>
      </c>
      <c r="C3" s="1">
        <f>ROUND((6347 / 67) * 365,0)</f>
        <v>34577</v>
      </c>
      <c r="D3" s="1" t="s">
        <v>82</v>
      </c>
      <c r="E3" s="1" t="s">
        <v>87</v>
      </c>
      <c r="F3" s="1" t="s">
        <v>89</v>
      </c>
    </row>
    <row r="4">
      <c r="A4" s="1" t="s">
        <v>22</v>
      </c>
      <c r="B4" s="1" t="s">
        <v>99</v>
      </c>
      <c r="C4" s="3">
        <f>ROUND(((C3/60) * 22),2)</f>
        <v>12678.23</v>
      </c>
      <c r="D4" s="1" t="s">
        <v>30</v>
      </c>
      <c r="E4" s="1" t="s">
        <v>131</v>
      </c>
      <c r="F4" s="1" t="s">
        <v>132</v>
      </c>
    </row>
    <row r="5">
      <c r="A5" s="1" t="s">
        <v>22</v>
      </c>
      <c r="B5" s="1" t="s">
        <v>137</v>
      </c>
      <c r="C5" s="1">
        <v>0.0</v>
      </c>
      <c r="D5" s="1" t="s">
        <v>30</v>
      </c>
      <c r="E5" s="1" t="s">
        <v>139</v>
      </c>
    </row>
    <row r="6">
      <c r="A6" s="1" t="s">
        <v>22</v>
      </c>
      <c r="B6" s="1" t="s">
        <v>142</v>
      </c>
      <c r="C6" s="1" t="s">
        <v>144</v>
      </c>
    </row>
    <row r="8">
      <c r="B8" s="2" t="s">
        <v>149</v>
      </c>
      <c r="C8" s="2" t="s">
        <v>151</v>
      </c>
      <c r="D8" s="2" t="s">
        <v>152</v>
      </c>
    </row>
    <row r="9">
      <c r="A9" s="1" t="s">
        <v>153</v>
      </c>
      <c r="B9" s="3">
        <f>B10+C2</f>
        <v>12678.23</v>
      </c>
      <c r="C9" s="3">
        <f>C10+C2</f>
        <v>12678.23</v>
      </c>
      <c r="D9" s="3">
        <f>D10+C2</f>
        <v>12678.23</v>
      </c>
    </row>
    <row r="10">
      <c r="A10" s="1" t="s">
        <v>180</v>
      </c>
      <c r="B10" s="3">
        <f>-C2+C4+(0.9*C5)</f>
        <v>-32321.77</v>
      </c>
      <c r="C10" s="3">
        <f>-C2+C4+C5</f>
        <v>-32321.77</v>
      </c>
      <c r="D10" s="3">
        <f>-C2+C4+(1.1*C5)</f>
        <v>-32321.77</v>
      </c>
    </row>
    <row r="11">
      <c r="A11" s="1" t="s">
        <v>189</v>
      </c>
      <c r="B11" s="3">
        <f>ROUND((B9/C2)*100,0)</f>
        <v>28</v>
      </c>
      <c r="C11" s="3">
        <f>ROUND((C9/C2)*100,0)</f>
        <v>28</v>
      </c>
      <c r="D11" s="3">
        <f>ROUND((D9/C2)*100,0)</f>
        <v>28</v>
      </c>
    </row>
    <row r="12">
      <c r="A12" s="1" t="s">
        <v>190</v>
      </c>
      <c r="B12" s="3">
        <f>ROUND(C2/(B9/365), 1)</f>
        <v>1295.5</v>
      </c>
      <c r="C12" s="3">
        <f>ROUND(C2/(C9/365), 1)</f>
        <v>1295.5</v>
      </c>
      <c r="D12" s="3">
        <f>ROUND(C2/(D9/365), 1)</f>
        <v>1295.5</v>
      </c>
    </row>
    <row r="14">
      <c r="A14" s="2" t="s">
        <v>1</v>
      </c>
      <c r="B14" s="2" t="s">
        <v>5</v>
      </c>
      <c r="C14" s="2" t="s">
        <v>7</v>
      </c>
      <c r="D14" s="2" t="s">
        <v>10</v>
      </c>
      <c r="E14" s="2" t="s">
        <v>13</v>
      </c>
      <c r="F14" s="2" t="s">
        <v>15</v>
      </c>
    </row>
    <row r="15">
      <c r="A15" s="1" t="s">
        <v>44</v>
      </c>
      <c r="B15" s="1" t="s">
        <v>24</v>
      </c>
      <c r="C15" s="1">
        <v>45000.0</v>
      </c>
      <c r="D15" s="1" t="s">
        <v>30</v>
      </c>
      <c r="E15" s="1" t="s">
        <v>198</v>
      </c>
      <c r="F15" s="1" t="s">
        <v>35</v>
      </c>
    </row>
    <row r="16">
      <c r="A16" s="1" t="s">
        <v>44</v>
      </c>
      <c r="B16" s="1" t="s">
        <v>42</v>
      </c>
      <c r="C16" s="1">
        <f>ROUND((20703 / 67) * 365,0) * 0.38</f>
        <v>42858.3</v>
      </c>
      <c r="D16" s="1" t="s">
        <v>82</v>
      </c>
      <c r="E16" s="1" t="s">
        <v>210</v>
      </c>
      <c r="F16" s="1" t="s">
        <v>211</v>
      </c>
    </row>
    <row r="17">
      <c r="A17" s="1" t="s">
        <v>44</v>
      </c>
      <c r="B17" s="1" t="s">
        <v>99</v>
      </c>
      <c r="C17" s="3">
        <f>ROUND(((C16/60) * 22),2)</f>
        <v>15714.71</v>
      </c>
      <c r="D17" s="1" t="s">
        <v>30</v>
      </c>
      <c r="E17" s="1" t="s">
        <v>131</v>
      </c>
      <c r="F17" s="1" t="s">
        <v>132</v>
      </c>
    </row>
    <row r="18">
      <c r="A18" s="1" t="s">
        <v>44</v>
      </c>
      <c r="B18" s="1" t="s">
        <v>137</v>
      </c>
      <c r="C18" s="1">
        <v>0.0</v>
      </c>
      <c r="D18" s="1" t="s">
        <v>30</v>
      </c>
      <c r="E18" s="1" t="s">
        <v>139</v>
      </c>
    </row>
    <row r="19">
      <c r="A19" s="1" t="s">
        <v>44</v>
      </c>
      <c r="B19" s="1" t="s">
        <v>142</v>
      </c>
      <c r="C19" s="1" t="s">
        <v>144</v>
      </c>
    </row>
    <row r="21">
      <c r="B21" s="2" t="s">
        <v>149</v>
      </c>
      <c r="C21" s="2" t="s">
        <v>151</v>
      </c>
      <c r="D21" s="2" t="s">
        <v>152</v>
      </c>
    </row>
    <row r="22">
      <c r="A22" s="1" t="s">
        <v>153</v>
      </c>
      <c r="B22" s="3">
        <f>B23+C15</f>
        <v>12406.35</v>
      </c>
      <c r="C22" s="3">
        <f>C23+C15</f>
        <v>15714.71</v>
      </c>
      <c r="D22" s="3">
        <f>D23+C15</f>
        <v>20677.25</v>
      </c>
    </row>
    <row r="23">
      <c r="A23" s="1" t="s">
        <v>180</v>
      </c>
      <c r="B23" s="3">
        <f>-C15+((C17/38)*30)+(0.9*C18)</f>
        <v>-32593.65</v>
      </c>
      <c r="C23" s="3">
        <f>-C15+C17+C18</f>
        <v>-29285.29</v>
      </c>
      <c r="D23" s="3">
        <f>-C15+((C17/38)*50)+(1.1*C18)</f>
        <v>-24322.75</v>
      </c>
    </row>
    <row r="24">
      <c r="A24" s="1" t="s">
        <v>189</v>
      </c>
      <c r="B24" s="3">
        <f>ROUND((B22/C15)*100,0)</f>
        <v>28</v>
      </c>
      <c r="C24" s="3">
        <f>ROUND((C22/C15)*100,0)</f>
        <v>35</v>
      </c>
      <c r="D24" s="3">
        <f>ROUND((D22/C15)*100,0)</f>
        <v>46</v>
      </c>
    </row>
    <row r="25">
      <c r="A25" s="1" t="s">
        <v>190</v>
      </c>
      <c r="B25" s="3">
        <f>ROUND(C15/(B22/365), 1)</f>
        <v>1323.9</v>
      </c>
      <c r="C25" s="3">
        <f>ROUND(C15/(C22/365), 1)</f>
        <v>1045.2</v>
      </c>
      <c r="D25" s="3">
        <f>ROUND(C15/(D22/365), 1)</f>
        <v>794.4</v>
      </c>
    </row>
    <row r="27">
      <c r="A27" s="2" t="s">
        <v>1</v>
      </c>
      <c r="B27" s="2" t="s">
        <v>5</v>
      </c>
      <c r="C27" s="2" t="s">
        <v>7</v>
      </c>
      <c r="D27" s="2" t="s">
        <v>10</v>
      </c>
      <c r="E27" s="2" t="s">
        <v>13</v>
      </c>
      <c r="F27" s="2" t="s">
        <v>15</v>
      </c>
    </row>
    <row r="28">
      <c r="A28" s="1" t="s">
        <v>86</v>
      </c>
      <c r="B28" s="1" t="s">
        <v>24</v>
      </c>
      <c r="C28" s="1">
        <v>45000.0</v>
      </c>
      <c r="D28" s="1" t="s">
        <v>30</v>
      </c>
      <c r="E28" s="1" t="s">
        <v>212</v>
      </c>
      <c r="F28" s="1" t="s">
        <v>35</v>
      </c>
    </row>
    <row r="29">
      <c r="A29" s="1" t="s">
        <v>86</v>
      </c>
      <c r="B29" s="1" t="s">
        <v>42</v>
      </c>
      <c r="C29" s="1">
        <f>ROUND((8897 / 67) * 365,0) * 0.38</f>
        <v>18418.22</v>
      </c>
      <c r="D29" s="1" t="s">
        <v>82</v>
      </c>
      <c r="E29" s="1" t="s">
        <v>213</v>
      </c>
      <c r="F29" s="1" t="s">
        <v>214</v>
      </c>
    </row>
    <row r="30">
      <c r="A30" s="1" t="s">
        <v>86</v>
      </c>
      <c r="B30" s="1" t="s">
        <v>99</v>
      </c>
      <c r="C30" s="3">
        <f>ROUND(((C29/60) * 22),2)</f>
        <v>6753.35</v>
      </c>
      <c r="D30" s="1" t="s">
        <v>30</v>
      </c>
      <c r="E30" s="1" t="s">
        <v>131</v>
      </c>
      <c r="F30" s="1" t="s">
        <v>132</v>
      </c>
    </row>
    <row r="31">
      <c r="A31" s="1" t="s">
        <v>86</v>
      </c>
      <c r="B31" s="1" t="s">
        <v>137</v>
      </c>
      <c r="C31" s="1">
        <v>0.0</v>
      </c>
      <c r="D31" s="1" t="s">
        <v>30</v>
      </c>
      <c r="E31" s="1" t="s">
        <v>139</v>
      </c>
    </row>
    <row r="32">
      <c r="A32" s="1" t="s">
        <v>86</v>
      </c>
      <c r="B32" s="1" t="s">
        <v>142</v>
      </c>
      <c r="C32" s="1" t="s">
        <v>144</v>
      </c>
    </row>
    <row r="34">
      <c r="B34" s="2" t="s">
        <v>149</v>
      </c>
      <c r="C34" s="2" t="s">
        <v>151</v>
      </c>
      <c r="D34" s="2" t="s">
        <v>152</v>
      </c>
    </row>
    <row r="35">
      <c r="A35" s="1" t="s">
        <v>153</v>
      </c>
      <c r="B35" s="3">
        <f>B36+C28</f>
        <v>5331.592105</v>
      </c>
      <c r="C35" s="3">
        <f>C36+C28</f>
        <v>6753.35</v>
      </c>
      <c r="D35" s="3">
        <f>D36+C28</f>
        <v>8885.986842</v>
      </c>
    </row>
    <row r="36">
      <c r="A36" s="1" t="s">
        <v>180</v>
      </c>
      <c r="B36" s="3">
        <f>-C28+((C30/38)*30)+(0.9*C31)</f>
        <v>-39668.40789</v>
      </c>
      <c r="C36" s="3">
        <f>-C28+C30+C31</f>
        <v>-38246.65</v>
      </c>
      <c r="D36" s="3">
        <f>-C28+((C30/38)*50)+(1.1*C31)</f>
        <v>-36114.01316</v>
      </c>
    </row>
    <row r="37">
      <c r="A37" s="1" t="s">
        <v>189</v>
      </c>
      <c r="B37" s="3">
        <f>ROUND((B35/C28)*100,0)</f>
        <v>12</v>
      </c>
      <c r="C37" s="3">
        <f>ROUND((C35/C28)*100,0)</f>
        <v>15</v>
      </c>
      <c r="D37" s="3">
        <f>ROUND((D35/C28)*100,0)</f>
        <v>20</v>
      </c>
    </row>
    <row r="38">
      <c r="A38" s="1" t="s">
        <v>190</v>
      </c>
      <c r="B38" s="3">
        <f>ROUND(C28/(B35/365), 1)</f>
        <v>3080.7</v>
      </c>
      <c r="C38" s="3">
        <f>ROUND(C28/(C35/365), 1)</f>
        <v>2432.1</v>
      </c>
      <c r="D38" s="3">
        <f>ROUND(C28/(D35/365), 1)</f>
        <v>1848.4</v>
      </c>
    </row>
    <row r="40">
      <c r="A40" s="2" t="s">
        <v>1</v>
      </c>
      <c r="B40" s="2" t="s">
        <v>5</v>
      </c>
      <c r="C40" s="2" t="s">
        <v>7</v>
      </c>
      <c r="D40" s="2" t="s">
        <v>10</v>
      </c>
      <c r="E40" s="2" t="s">
        <v>13</v>
      </c>
      <c r="F40" s="2" t="s">
        <v>15</v>
      </c>
    </row>
    <row r="41">
      <c r="A41" s="1" t="s">
        <v>103</v>
      </c>
      <c r="B41" s="1" t="s">
        <v>24</v>
      </c>
      <c r="C41" s="1">
        <v>85000.0</v>
      </c>
      <c r="D41" s="1" t="s">
        <v>30</v>
      </c>
      <c r="E41" s="1" t="s">
        <v>221</v>
      </c>
      <c r="F41" s="1" t="s">
        <v>171</v>
      </c>
    </row>
    <row r="42">
      <c r="A42" s="1" t="s">
        <v>103</v>
      </c>
      <c r="B42" s="1" t="s">
        <v>42</v>
      </c>
      <c r="C42" s="1">
        <f>ROUND((10554 / 67) * 365,0) * 0.38</f>
        <v>21848.48</v>
      </c>
      <c r="D42" s="1" t="s">
        <v>82</v>
      </c>
      <c r="E42" s="1" t="s">
        <v>222</v>
      </c>
      <c r="F42" s="1" t="s">
        <v>214</v>
      </c>
    </row>
    <row r="43">
      <c r="A43" s="1" t="s">
        <v>103</v>
      </c>
      <c r="B43" s="1" t="s">
        <v>99</v>
      </c>
      <c r="C43" s="3">
        <f>ROUND(((C42/60) * 22),2)</f>
        <v>8011.11</v>
      </c>
      <c r="D43" s="1" t="s">
        <v>30</v>
      </c>
      <c r="E43" s="1" t="s">
        <v>131</v>
      </c>
      <c r="F43" s="1" t="s">
        <v>132</v>
      </c>
    </row>
    <row r="44">
      <c r="A44" s="1" t="s">
        <v>103</v>
      </c>
      <c r="B44" s="1" t="s">
        <v>137</v>
      </c>
      <c r="C44" s="1">
        <v>0.0</v>
      </c>
      <c r="D44" s="1" t="s">
        <v>30</v>
      </c>
      <c r="E44" s="1" t="s">
        <v>139</v>
      </c>
    </row>
    <row r="45">
      <c r="A45" s="1" t="s">
        <v>103</v>
      </c>
      <c r="B45" s="1" t="s">
        <v>142</v>
      </c>
      <c r="C45" s="1" t="s">
        <v>223</v>
      </c>
    </row>
    <row r="47">
      <c r="B47" s="2" t="s">
        <v>149</v>
      </c>
      <c r="C47" s="2" t="s">
        <v>151</v>
      </c>
      <c r="D47" s="2" t="s">
        <v>152</v>
      </c>
    </row>
    <row r="48">
      <c r="A48" s="1" t="s">
        <v>153</v>
      </c>
      <c r="B48" s="3">
        <f>B49+C41</f>
        <v>6324.560526</v>
      </c>
      <c r="C48" s="3">
        <f>C49+C41</f>
        <v>8011.11</v>
      </c>
      <c r="D48" s="3">
        <f>D49+C41</f>
        <v>10540.93421</v>
      </c>
    </row>
    <row r="49">
      <c r="A49" s="1" t="s">
        <v>180</v>
      </c>
      <c r="B49" s="3">
        <f>-C41+((C43/38)*30)+(0.9*C44)</f>
        <v>-78675.43947</v>
      </c>
      <c r="C49" s="3">
        <f>-C41+C43+C44</f>
        <v>-76988.89</v>
      </c>
      <c r="D49" s="3">
        <f>-C41+((C43/38)*50)+(1.1*C44)</f>
        <v>-74459.06579</v>
      </c>
    </row>
    <row r="50">
      <c r="A50" s="1" t="s">
        <v>189</v>
      </c>
      <c r="B50" s="3">
        <f>ROUND((B48/C41)*100,0)</f>
        <v>7</v>
      </c>
      <c r="C50" s="3">
        <f>ROUND((C48/C41)*100,0)</f>
        <v>9</v>
      </c>
      <c r="D50" s="3">
        <f>ROUND((D48/C41)*100,0)</f>
        <v>12</v>
      </c>
    </row>
    <row r="51">
      <c r="A51" s="1" t="s">
        <v>190</v>
      </c>
      <c r="B51" s="3">
        <f>ROUND(C41/(B48/365), 1)</f>
        <v>4905.5</v>
      </c>
      <c r="C51" s="3">
        <f>ROUND(C41/(C48/365), 1)</f>
        <v>3872.7</v>
      </c>
      <c r="D51" s="3">
        <f>ROUND(C41/(D48/365), 1)</f>
        <v>2943.3</v>
      </c>
    </row>
    <row r="53">
      <c r="A53" s="2" t="s">
        <v>1</v>
      </c>
      <c r="B53" s="2" t="s">
        <v>5</v>
      </c>
      <c r="C53" s="2" t="s">
        <v>7</v>
      </c>
      <c r="D53" s="2" t="s">
        <v>10</v>
      </c>
      <c r="E53" s="2" t="s">
        <v>13</v>
      </c>
      <c r="F53" s="2" t="s">
        <v>15</v>
      </c>
    </row>
    <row r="54">
      <c r="A54" s="1" t="s">
        <v>114</v>
      </c>
      <c r="B54" s="1" t="s">
        <v>24</v>
      </c>
      <c r="C54" s="1">
        <v>85000.0</v>
      </c>
      <c r="D54" s="1" t="s">
        <v>30</v>
      </c>
      <c r="E54" s="1" t="s">
        <v>224</v>
      </c>
      <c r="F54" s="1" t="s">
        <v>171</v>
      </c>
    </row>
    <row r="55">
      <c r="A55" s="1" t="s">
        <v>114</v>
      </c>
      <c r="B55" s="1" t="s">
        <v>42</v>
      </c>
      <c r="C55" s="1">
        <f>ROUND((52916 / 67) * 365,0) * 0.38</f>
        <v>109544.12</v>
      </c>
      <c r="D55" s="1" t="s">
        <v>82</v>
      </c>
      <c r="E55" s="1" t="s">
        <v>225</v>
      </c>
      <c r="F55" s="1" t="s">
        <v>226</v>
      </c>
    </row>
    <row r="56">
      <c r="A56" s="1" t="s">
        <v>114</v>
      </c>
      <c r="B56" s="1" t="s">
        <v>99</v>
      </c>
      <c r="C56" s="3">
        <f>ROUND(((C55/60) * 22),2)</f>
        <v>40166.18</v>
      </c>
      <c r="D56" s="1" t="s">
        <v>30</v>
      </c>
      <c r="E56" s="1" t="s">
        <v>131</v>
      </c>
      <c r="F56" s="1" t="s">
        <v>132</v>
      </c>
    </row>
    <row r="57">
      <c r="A57" s="1" t="s">
        <v>114</v>
      </c>
      <c r="B57" s="1" t="s">
        <v>137</v>
      </c>
      <c r="C57" s="1">
        <f>8000000*0.065*12*0.38</f>
        <v>2371200</v>
      </c>
      <c r="D57" s="1" t="s">
        <v>30</v>
      </c>
      <c r="E57" s="1" t="s">
        <v>227</v>
      </c>
      <c r="F57" s="1" t="s">
        <v>228</v>
      </c>
    </row>
    <row r="58">
      <c r="A58" s="1" t="s">
        <v>114</v>
      </c>
      <c r="B58" s="1" t="s">
        <v>142</v>
      </c>
      <c r="C58" s="1" t="s">
        <v>223</v>
      </c>
      <c r="F58" s="1" t="s">
        <v>229</v>
      </c>
    </row>
    <row r="60">
      <c r="B60" s="2" t="s">
        <v>149</v>
      </c>
      <c r="C60" s="2" t="s">
        <v>151</v>
      </c>
      <c r="D60" s="2" t="s">
        <v>152</v>
      </c>
    </row>
    <row r="61">
      <c r="A61" s="1" t="s">
        <v>153</v>
      </c>
      <c r="B61" s="3">
        <f>B62+C54</f>
        <v>2165790.142</v>
      </c>
      <c r="C61" s="3">
        <f>C62+C54</f>
        <v>2411366.18</v>
      </c>
      <c r="D61" s="3">
        <f>D62+C54</f>
        <v>2661170.237</v>
      </c>
    </row>
    <row r="62">
      <c r="A62" s="1" t="s">
        <v>180</v>
      </c>
      <c r="B62" s="3">
        <f>-C54+((C56/38)*30)+(0.9*C57)</f>
        <v>2080790.142</v>
      </c>
      <c r="C62" s="3">
        <f>-C54+C56+C57</f>
        <v>2326366.18</v>
      </c>
      <c r="D62" s="3">
        <f>-C54+((C56/38)*50)+(1.1*C57)</f>
        <v>2576170.237</v>
      </c>
    </row>
    <row r="63">
      <c r="A63" s="1" t="s">
        <v>189</v>
      </c>
      <c r="B63" s="3">
        <f>ROUND((B61/C54)*100,0)</f>
        <v>2548</v>
      </c>
      <c r="C63" s="3">
        <f>ROUND((C61/C54)*100,0)</f>
        <v>2837</v>
      </c>
      <c r="D63" s="3">
        <f>ROUND((D61/C54)*100,0)</f>
        <v>3131</v>
      </c>
    </row>
    <row r="64">
      <c r="A64" s="1" t="s">
        <v>190</v>
      </c>
      <c r="B64" s="3">
        <f>ROUND(C54/(B61/365), 1)</f>
        <v>14.3</v>
      </c>
      <c r="C64" s="3">
        <f>ROUND(C54/(C61/365), 1)</f>
        <v>12.9</v>
      </c>
      <c r="D64" s="3">
        <f>ROUND(C54/(D61/365), 1)</f>
        <v>11.7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10.75"/>
  </cols>
  <sheetData>
    <row r="1">
      <c r="A1" s="2" t="s">
        <v>215</v>
      </c>
      <c r="B1" s="2" t="s">
        <v>8</v>
      </c>
      <c r="C1" s="2" t="s">
        <v>216</v>
      </c>
      <c r="D1" s="2" t="s">
        <v>217</v>
      </c>
      <c r="E1" s="2" t="s">
        <v>218</v>
      </c>
    </row>
    <row r="2">
      <c r="A2" s="1">
        <v>1.0</v>
      </c>
      <c r="B2" s="1" t="s">
        <v>114</v>
      </c>
      <c r="C2" s="1" t="s">
        <v>72</v>
      </c>
      <c r="D2" s="1" t="s">
        <v>72</v>
      </c>
      <c r="E2" s="1" t="s">
        <v>39</v>
      </c>
    </row>
    <row r="3">
      <c r="A3" s="1">
        <v>2.0</v>
      </c>
      <c r="B3" s="1" t="s">
        <v>22</v>
      </c>
      <c r="C3" s="1" t="s">
        <v>128</v>
      </c>
      <c r="D3" s="1" t="s">
        <v>39</v>
      </c>
      <c r="E3" s="1" t="s">
        <v>72</v>
      </c>
    </row>
    <row r="4">
      <c r="A4" s="1">
        <v>3.0</v>
      </c>
      <c r="B4" s="1" t="s">
        <v>44</v>
      </c>
      <c r="C4" s="1" t="s">
        <v>128</v>
      </c>
      <c r="D4" s="1" t="s">
        <v>72</v>
      </c>
      <c r="E4" s="1" t="s">
        <v>72</v>
      </c>
    </row>
    <row r="5">
      <c r="A5" s="1">
        <v>4.0</v>
      </c>
      <c r="B5" s="1" t="s">
        <v>103</v>
      </c>
      <c r="C5" s="1" t="s">
        <v>72</v>
      </c>
      <c r="D5" s="1" t="s">
        <v>128</v>
      </c>
      <c r="E5" s="1" t="s">
        <v>72</v>
      </c>
    </row>
    <row r="6">
      <c r="A6" s="1">
        <v>5.0</v>
      </c>
      <c r="B6" s="1" t="s">
        <v>86</v>
      </c>
      <c r="C6" s="1" t="s">
        <v>128</v>
      </c>
      <c r="D6" s="1" t="s">
        <v>72</v>
      </c>
      <c r="E6" s="1" t="s">
        <v>128</v>
      </c>
    </row>
    <row r="8">
      <c r="A8" s="2" t="s">
        <v>219</v>
      </c>
      <c r="B8" s="1" t="s">
        <v>220</v>
      </c>
    </row>
  </sheetData>
  <drawing r:id="rId1"/>
</worksheet>
</file>